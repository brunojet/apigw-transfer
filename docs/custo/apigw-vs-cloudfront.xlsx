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ojects\apigw-transfer\.claude\worktrees\project-proposal-code-review-f9ab5f\docs\custo\"/>
    </mc:Choice>
  </mc:AlternateContent>
  <xr:revisionPtr revIDLastSave="0" documentId="13_ncr:1_{8349F550-6D0B-4418-9FE6-952240638D1A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Leia-me" sheetId="1" r:id="rId1"/>
    <sheet name="Premissas" sheetId="2" r:id="rId2"/>
    <sheet name="Consumo" sheetId="3" r:id="rId3"/>
    <sheet name="Comparativo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3" l="1"/>
  <c r="C8" i="4" s="1"/>
  <c r="J19" i="3"/>
  <c r="H19" i="3"/>
  <c r="I19" i="3" s="1"/>
  <c r="G19" i="3"/>
  <c r="J18" i="3"/>
  <c r="H18" i="3"/>
  <c r="I18" i="3" s="1"/>
  <c r="G18" i="3"/>
  <c r="J17" i="3"/>
  <c r="H17" i="3"/>
  <c r="I17" i="3" s="1"/>
  <c r="G17" i="3"/>
  <c r="J16" i="3"/>
  <c r="H16" i="3"/>
  <c r="I16" i="3" s="1"/>
  <c r="G16" i="3"/>
  <c r="J15" i="3"/>
  <c r="H15" i="3"/>
  <c r="I15" i="3" s="1"/>
  <c r="G15" i="3"/>
  <c r="J14" i="3"/>
  <c r="H14" i="3"/>
  <c r="I14" i="3" s="1"/>
  <c r="G14" i="3"/>
  <c r="J13" i="3"/>
  <c r="H13" i="3"/>
  <c r="I13" i="3" s="1"/>
  <c r="G13" i="3"/>
  <c r="J12" i="3"/>
  <c r="H12" i="3"/>
  <c r="I12" i="3" s="1"/>
  <c r="G12" i="3"/>
  <c r="J11" i="3"/>
  <c r="H11" i="3"/>
  <c r="I11" i="3" s="1"/>
  <c r="G11" i="3"/>
  <c r="J10" i="3"/>
  <c r="H10" i="3"/>
  <c r="I10" i="3" s="1"/>
  <c r="G10" i="3"/>
  <c r="J9" i="3"/>
  <c r="H9" i="3"/>
  <c r="I9" i="3" s="1"/>
  <c r="G9" i="3"/>
  <c r="J8" i="3"/>
  <c r="H8" i="3"/>
  <c r="I8" i="3" s="1"/>
  <c r="G8" i="3"/>
  <c r="J7" i="3"/>
  <c r="H7" i="3"/>
  <c r="I7" i="3" s="1"/>
  <c r="G7" i="3"/>
  <c r="J6" i="3"/>
  <c r="H6" i="3"/>
  <c r="I6" i="3" s="1"/>
  <c r="G6" i="3"/>
  <c r="J5" i="3"/>
  <c r="H5" i="3"/>
  <c r="I5" i="3" s="1"/>
  <c r="G5" i="3"/>
  <c r="G20" i="3" s="1"/>
  <c r="C5" i="4" s="1"/>
  <c r="J20" i="3" l="1"/>
  <c r="C7" i="4" s="1"/>
  <c r="C12" i="4"/>
  <c r="C19" i="4"/>
  <c r="C25" i="4"/>
  <c r="C24" i="4"/>
  <c r="C20" i="4"/>
  <c r="C18" i="4"/>
  <c r="I20" i="3"/>
  <c r="C6" i="4" s="1"/>
  <c r="C14" i="4" l="1"/>
  <c r="C13" i="4"/>
  <c r="C11" i="4"/>
  <c r="C15" i="4" s="1"/>
  <c r="C21" i="4"/>
  <c r="C29" i="4" l="1"/>
  <c r="C32" i="4"/>
  <c r="C30" i="4"/>
  <c r="C28" i="4"/>
  <c r="C31" i="4"/>
  <c r="C33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modelo</author>
  </authors>
  <commentList>
    <comment ref="C5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Premissa do modelo.</t>
        </r>
      </text>
    </comment>
    <comment ref="C6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maxChunkBytes = 8388607 (+1 byte) validado na PoC (SPEC.md §9).</t>
        </r>
      </text>
    </comment>
    <comment ref="C7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CloudFront não tem teto de 10 MB; 1 requisição por arquivo é o caso típico.</t>
        </r>
      </text>
    </comment>
    <comment ref="C9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Premissa. Com TTL de cache cobrindo um download inteiro, só a 1ª requisição de cada sessão invoca o authorizer.</t>
        </r>
      </text>
    </comment>
    <comment ref="C10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Premissa; ajustar para o authorizer real.</t>
        </r>
      </text>
    </comment>
    <comment ref="C11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Premissa; ajustar pelas métricas do authorizer real (inclui chamada à infra de governança).</t>
        </r>
      </text>
    </comment>
    <comment ref="C12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https://aws.amazon.com/lambda/pricing/</t>
        </r>
      </text>
    </comment>
    <comment ref="C13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https://aws.amazon.com/lambda/pricing/ (arm64: 0,0000133334)</t>
        </r>
      </text>
    </comment>
    <comment ref="C15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https://aws.amazon.com/s3/pricing/ (S3 Standard)</t>
        </r>
      </text>
    </comment>
    <comment ref="C17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Premissa. Só cache-miss gera GET no S3.</t>
        </r>
      </text>
    </comment>
    <comment ref="C18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https://aws.amazon.com/cloudfront/pricing/ (Always Free: 1 TB/mês)</t>
        </r>
      </text>
    </comment>
    <comment ref="C19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https://aws.amazon.com/cloudfront/pricing/ (Always Free: 10 milhões/mês)</t>
        </r>
      </text>
    </comment>
    <comment ref="C20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https://aws.amazon.com/cloudfront/pricing/ (América do Norte/Europa)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modelo</author>
  </authors>
  <commentList>
    <comment ref="C2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Ex.: 1 se os números abaixo são de um dia; 7 se de uma semana.</t>
        </r>
      </text>
    </comment>
  </commentList>
</comments>
</file>

<file path=xl/sharedStrings.xml><?xml version="1.0" encoding="utf-8"?>
<sst xmlns="http://schemas.openxmlformats.org/spreadsheetml/2006/main" count="134" uniqueCount="124">
  <si>
    <t>Consumo medido em produção</t>
  </si>
  <si>
    <t>Dias cobertos pelo levantamento</t>
  </si>
  <si>
    <t>Preencha as colunas amarelas (C a F). As linhas 5 e 6 são exemplos: substitua pelos dados reais.</t>
  </si>
  <si>
    <t>Categoria de arquivo</t>
  </si>
  <si>
    <t>Downloads no período</t>
  </si>
  <si>
    <t>Tamanho médio (MB)</t>
  </si>
  <si>
    <t>% downloads com HEAD</t>
  </si>
  <si>
    <t>% requisições extras (retomada/retry)</t>
  </si>
  <si>
    <t>GB transferidos no período</t>
  </si>
  <si>
    <t>Blocos por download (API GW)</t>
  </si>
  <si>
    <t>Requisições API GW no período</t>
  </si>
  <si>
    <t>Requisições CloudFront no período</t>
  </si>
  <si>
    <t>Imagens (exemplo)</t>
  </si>
  <si>
    <t>APKs (exemplo)</t>
  </si>
  <si>
    <t>Total no período</t>
  </si>
  <si>
    <t>Blocos por download = arredondamento para cima de tamanho / tamanho do bloco (Premissas). Requisições API GW = downloads × (blocos + % HEAD) × (1 + % extras). CloudFront usa 1 requisição por arquivo quando a premissa correspondente = 1.</t>
  </si>
  <si>
    <t>Custo de transferência de arquivos: API Gateway x CloudFront</t>
  </si>
  <si>
    <t>Para que serve</t>
  </si>
  <si>
    <t>Estima o custo mensal de servir arquivos do S3 pelo padrão desta proposta (API Gateway REST -&gt; S3, com Lambda authorizer e download em blocos) comparado a uma CDN (CloudFront sob demanda e planos de preço fixo), a partir do volume medido em produção.</t>
  </si>
  <si>
    <t>Como usar</t>
  </si>
  <si>
    <t>1. Aba Consumo: informe quantos dias o levantamento cobre (célula C2) e, por categoria de arquivo, downloads no período, tamanho médio, % com HEAD e % de requisições extras (retomadas/retries). Células amarelas com texto azul são entradas. As duas linhas preenchidas são exemplos: substitua pelos dados reais.</t>
  </si>
  <si>
    <t>2. Aba Premissas: preços e parâmetros (texto azul). Ajuste se a região ou os preços forem outros (ex.: bucket/API em sa-east-1, usuários na América do Sul).</t>
  </si>
  <si>
    <t>3. Aba Comparativo: resultado mensal, sem nada a preencher.</t>
  </si>
  <si>
    <t>Legenda</t>
  </si>
  <si>
    <t>Texto azul = entrada editável | Fundo amarelo = dado de produção a preencher | Texto preto = fórmula | Texto verde = referência a outra aba.</t>
  </si>
  <si>
    <t>Modelo de cálculo</t>
  </si>
  <si>
    <t>API Gateway: cada bloco é uma requisição (teto de 10 MB por resposta; bloco padrão de 8 MiB). Custo = requisições (faixas) + transferência para a internet (faixas) + GET/HEAD no S3 por requisição (sem cache) + Lambda authorizer nas requisições que não acertam o cache do authorizer.</t>
  </si>
  <si>
    <t>CloudFront sob demanda: sem teto de payload, então por padrão 1 requisição por arquivo (configurável). Custo = requisições e dados acima do free tier (dados em faixas) + GET no S3 só nos cache-miss. Transferência S3 -&gt; CloudFront não é cobrada. Não inclui validação de token na borda.</t>
  </si>
  <si>
    <t>CloudFront plano fixo: menor plano cujos limites de requisições e dados comportam o volume. Não foi verificado se os planos fixos suportam mTLS de viewer e os demais requisitos: é referência.</t>
  </si>
  <si>
    <t>Limitações</t>
  </si>
  <si>
    <t>Não inclui: armazenamento S3, compressão (reduz GB em arquivos compressíveis), WAF, logs, custo do fallback (cache-miss) nem DNS/certificados. O mTLS no custom domain do API Gateway não tem custo adicional. Tamanho em MB é tratado como MiB no cálculo de blocos (diferença &lt; 5%).</t>
  </si>
  <si>
    <t>Nota de governança: a variante CloudFront não atende hoje à exigência de validação online do token e da revogação do certificado de cliente na infra de governança (ver ADR 0001). A comparação serve para dimensionar o custo do padrão API Gateway.</t>
  </si>
  <si>
    <t>Fontes de preço</t>
  </si>
  <si>
    <t>API Gateway: https://aws.amazon.com/api-gateway/pricing/</t>
  </si>
  <si>
    <t>CloudFront: https://aws.amazon.com/cloudfront/pricing/</t>
  </si>
  <si>
    <t>S3: https://aws.amazon.com/s3/pricing/</t>
  </si>
  <si>
    <t>Lambda: https://aws.amazon.com/lambda/pricing/</t>
  </si>
  <si>
    <t>Preço de referência us-east-1 / América do Norte, conferido em 2026-09-13. Confirmar na página antes de decidir.</t>
  </si>
  <si>
    <t>Premissas e preços</t>
  </si>
  <si>
    <t>Geral</t>
  </si>
  <si>
    <t>Dias por mês (para mensalizar o período medido)</t>
  </si>
  <si>
    <t>Tamanho do bloco no API Gateway (MiB)</t>
  </si>
  <si>
    <t>Downloads no CloudFront em 1 requisição por arquivo? (1 = sim, 0 = mesmos blocos do API Gateway)</t>
  </si>
  <si>
    <t>API Gateway: Lambda authorizer</t>
  </si>
  <si>
    <t>Taxa de acerto do cache do authorizer (0 a 1)</t>
  </si>
  <si>
    <t>Memória do authorizer (MB)</t>
  </si>
  <si>
    <t>Duração média do authorizer (ms)</t>
  </si>
  <si>
    <t>Lambda: preço por milhão de invocações ($)</t>
  </si>
  <si>
    <t>Lambda: preço por GB-segundo ($, x86)</t>
  </si>
  <si>
    <t>S3</t>
  </si>
  <si>
    <t>S3: GET/HEAD por 1.000 requisições ($)</t>
  </si>
  <si>
    <t>CloudFront sob demanda</t>
  </si>
  <si>
    <t>Taxa de acerto do cache do CloudFront (0 a 1)</t>
  </si>
  <si>
    <t>Free tier de dados (GB/mês)</t>
  </si>
  <si>
    <t>Free tier de requisições (por mês)</t>
  </si>
  <si>
    <t>Preço por 10.000 requisições HTTPS ($)</t>
  </si>
  <si>
    <t>API Gateway REST: requisições por mês (preço por milhão)</t>
  </si>
  <si>
    <t>Faixa</t>
  </si>
  <si>
    <t>De (milhões)</t>
  </si>
  <si>
    <t>Até (milhões)</t>
  </si>
  <si>
    <t>Preço ($)</t>
  </si>
  <si>
    <t>Primeiros 333 milhões</t>
  </si>
  <si>
    <t>Próximos 667 milhões</t>
  </si>
  <si>
    <t>Próximos 19 bilhões</t>
  </si>
  <si>
    <t>Acima de 20 bilhões</t>
  </si>
  <si>
    <t>Fonte: https://aws.amazon.com/api-gateway/pricing/. Última faixa com 'Até' = 1E+12 (sem limite).</t>
  </si>
  <si>
    <t>API Gateway: transferência para a internet por mês (preço por GB)</t>
  </si>
  <si>
    <t>De (GB)</t>
  </si>
  <si>
    <t>Até (GB)</t>
  </si>
  <si>
    <t>Primeiros 10 TB</t>
  </si>
  <si>
    <t>Próximos 40 TB</t>
  </si>
  <si>
    <t>Próximos 100 TB</t>
  </si>
  <si>
    <t>Acima de 150 TB</t>
  </si>
  <si>
    <t>Fonte: https://aws.amazon.com/api-gateway/pricing/ (mesma tabela de transferência do EC2, us-east-1). Última faixa com 'Até' = 1E+12 (sem limite).</t>
  </si>
  <si>
    <t>CloudFront sob demanda: transferência para a internet por mês (preço por GB, após free tier)</t>
  </si>
  <si>
    <t>Próximos 350 TB</t>
  </si>
  <si>
    <t>Próximos 524 TB</t>
  </si>
  <si>
    <t>Acima de 1 PB</t>
  </si>
  <si>
    <t>Fonte: https://aws.amazon.com/cloudfront/pricing/ (América do Norte; América do Sul é mais cara, confirmar). Última faixa com 'Até' = 1E+12 (sem limite).</t>
  </si>
  <si>
    <t>CloudFront planos de preço fixo (sem cobrança excedente)</t>
  </si>
  <si>
    <t>Plano</t>
  </si>
  <si>
    <t>$/mês</t>
  </si>
  <si>
    <t>Requisições incluídas</t>
  </si>
  <si>
    <t>Dados incluídos (GB)</t>
  </si>
  <si>
    <t>Free</t>
  </si>
  <si>
    <t>Pro</t>
  </si>
  <si>
    <t>Business</t>
  </si>
  <si>
    <t>Premium</t>
  </si>
  <si>
    <t>Fonte: https://aws.amazon.com/cloudfront/pricing/. Planos incluem WAF, DDoS, DNS e certificado. Não verificado se suportam mTLS de viewer e os requisitos de governança.</t>
  </si>
  <si>
    <t>Comparativo mensal: API Gateway x CloudFront</t>
  </si>
  <si>
    <t>Tudo calculado a partir das abas Consumo e Premissas. Nada a preencher aqui.</t>
  </si>
  <si>
    <t>Volume mensal</t>
  </si>
  <si>
    <t>GB transferidos por mês</t>
  </si>
  <si>
    <t>Consumo × dias por mês / dias medidos</t>
  </si>
  <si>
    <t>Requisições por mês no API Gateway</t>
  </si>
  <si>
    <t>Requisições por mês no CloudFront</t>
  </si>
  <si>
    <t>Downloads por mês</t>
  </si>
  <si>
    <t>API Gateway REST (padrão da proposta)</t>
  </si>
  <si>
    <t>Requisições</t>
  </si>
  <si>
    <t>Faixas por milhão de requisições</t>
  </si>
  <si>
    <t>Transferência para a internet</t>
  </si>
  <si>
    <t>Faixas por GB</t>
  </si>
  <si>
    <t>S3 GET/HEAD (toda requisição chega ao S3, sem cache)</t>
  </si>
  <si>
    <t>Lambda authorizer (requisições sem acerto de cache)</t>
  </si>
  <si>
    <t>Invocações + GB-segundos</t>
  </si>
  <si>
    <t>Total API Gateway</t>
  </si>
  <si>
    <t>CloudFront sob demanda (referência)</t>
  </si>
  <si>
    <t>Requisições (acima do free tier)</t>
  </si>
  <si>
    <t>Transferência para a internet (acima do free tier)</t>
  </si>
  <si>
    <t>S3 -&gt; CloudFront não é cobrado</t>
  </si>
  <si>
    <t>S3 GET (só cache-miss)</t>
  </si>
  <si>
    <t>Total CloudFront sob demanda</t>
  </si>
  <si>
    <t>CloudFront plano de preço fixo (referência)</t>
  </si>
  <si>
    <t>Menor plano que comporta o volume</t>
  </si>
  <si>
    <t>Não verificado se o plano atende mTLS de viewer</t>
  </si>
  <si>
    <t>Custo do plano (ou sob demanda, se exceder)</t>
  </si>
  <si>
    <t>Diferença</t>
  </si>
  <si>
    <t>API Gateway − CloudFront sob demanda ($/mês)</t>
  </si>
  <si>
    <t>API Gateway / CloudFront sob demanda</t>
  </si>
  <si>
    <t>API Gateway − CloudFront plano fixo ($/mês)</t>
  </si>
  <si>
    <t>Custo por GB no API Gateway ($)</t>
  </si>
  <si>
    <t>Custo por GB no CloudFront sob demanda ($)</t>
  </si>
  <si>
    <t>Custo por download no API Gateway ($)</t>
  </si>
  <si>
    <t>Leitura: o custo por GB transferido é equivalente nas duas opções sob demanda; a diferença vem de requisições por bloco, leituras no S3 sem cache e authorizer. Em volume alto, planos de preço fixo de CDN abrem distância, mas a variante CDN não atende hoje à validação online exigida pela governança (ADR 0001).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</si>
</sst>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;\(#,##0\);&quot;-&quot;"/>
    <numFmt numFmtId="165" formatCode="0.0%;\(0.0%\);&quot;-&quot;"/>
    <numFmt numFmtId="166" formatCode="&quot;$&quot;#,##0.00;\(&quot;$&quot;#,##0.00\);&quot;-&quot;"/>
    <numFmt numFmtId="167" formatCode="&quot;$&quot;#,##0.000000"/>
    <numFmt numFmtId="168" formatCode="#,##0.00;\(#,##0.00\);&quot;-&quot;"/>
    <numFmt numFmtId="169" formatCode="0.00&quot;x&quot;"/>
    <numFmt numFmtId="170" formatCode="&quot;$&quot;#,##0.0000"/>
  </numFmts>
  <fonts count="10" x14ac:knownFonts="1">
    <font>
      <sz val="11"/>
      <color theme="1"/>
      <name val="Calibri"/>
      <family val="2"/>
      <scheme val="minor"/>
    </font>
    <font>
      <b/>
      <sz val="14"/>
      <name val="Arial"/>
    </font>
    <font>
      <sz val="11"/>
      <color rgb="FF000000"/>
      <name val="Arial"/>
    </font>
    <font>
      <b/>
      <sz val="11"/>
      <name val="Arial"/>
    </font>
    <font>
      <i/>
      <sz val="11"/>
      <color rgb="FF595959"/>
      <name val="Arial"/>
    </font>
    <font>
      <sz val="11"/>
      <color rgb="FF0000FF"/>
      <name val="Arial"/>
    </font>
    <font>
      <b/>
      <sz val="11"/>
      <color rgb="FFFFFFFF"/>
      <name val="Arial"/>
    </font>
    <font>
      <sz val="11"/>
      <color rgb="FF008000"/>
      <name val="Arial"/>
    </font>
    <font>
      <b/>
      <sz val="11"/>
      <color rgb="FF000000"/>
      <name val="Arial"/>
    </font>
    <font>
      <sz val="11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1F4E78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9" fillId="0" borderId="0" xfId="0" applyFont="1"/>
    <xf numFmtId="0" fontId="1" fillId="0" borderId="0" xfId="0" applyFont="1"/>
    <xf numFmtId="0" fontId="4" fillId="0" borderId="0" xfId="0" applyFont="1"/>
    <xf numFmtId="0" fontId="3" fillId="2" borderId="0" xfId="0" applyFont="1" applyFill="1"/>
    <xf numFmtId="0" fontId="9" fillId="2" borderId="0" xfId="0" applyFont="1" applyFill="1"/>
    <xf numFmtId="164" fontId="5" fillId="0" borderId="1" xfId="0" applyNumberFormat="1" applyFont="1" applyBorder="1"/>
    <xf numFmtId="165" fontId="5" fillId="0" borderId="1" xfId="0" applyNumberFormat="1" applyFont="1" applyBorder="1"/>
    <xf numFmtId="166" fontId="5" fillId="0" borderId="1" xfId="0" applyNumberFormat="1" applyFont="1" applyBorder="1"/>
    <xf numFmtId="167" fontId="5" fillId="0" borderId="1" xfId="0" applyNumberFormat="1" applyFont="1" applyBorder="1"/>
    <xf numFmtId="0" fontId="6" fillId="3" borderId="1" xfId="0" applyFont="1" applyFill="1" applyBorder="1" applyAlignment="1">
      <alignment vertical="center" wrapText="1"/>
    </xf>
    <xf numFmtId="0" fontId="2" fillId="0" borderId="0" xfId="0" applyFont="1"/>
    <xf numFmtId="0" fontId="5" fillId="0" borderId="0" xfId="0" applyFont="1"/>
    <xf numFmtId="0" fontId="4" fillId="0" borderId="0" xfId="0" applyFont="1" applyAlignment="1">
      <alignment vertical="top" wrapText="1"/>
    </xf>
    <xf numFmtId="0" fontId="3" fillId="0" borderId="0" xfId="0" applyFont="1"/>
    <xf numFmtId="164" fontId="5" fillId="4" borderId="1" xfId="0" applyNumberFormat="1" applyFont="1" applyFill="1" applyBorder="1"/>
    <xf numFmtId="0" fontId="5" fillId="4" borderId="1" xfId="0" applyFont="1" applyFill="1" applyBorder="1"/>
    <xf numFmtId="168" fontId="5" fillId="4" borderId="1" xfId="0" applyNumberFormat="1" applyFont="1" applyFill="1" applyBorder="1"/>
    <xf numFmtId="165" fontId="5" fillId="4" borderId="1" xfId="0" applyNumberFormat="1" applyFont="1" applyFill="1" applyBorder="1"/>
    <xf numFmtId="168" fontId="2" fillId="0" borderId="1" xfId="0" applyNumberFormat="1" applyFont="1" applyBorder="1"/>
    <xf numFmtId="164" fontId="2" fillId="0" borderId="1" xfId="0" applyNumberFormat="1" applyFont="1" applyBorder="1"/>
    <xf numFmtId="164" fontId="3" fillId="0" borderId="1" xfId="0" applyNumberFormat="1" applyFont="1" applyBorder="1"/>
    <xf numFmtId="168" fontId="3" fillId="0" borderId="1" xfId="0" applyNumberFormat="1" applyFont="1" applyBorder="1"/>
    <xf numFmtId="168" fontId="7" fillId="0" borderId="1" xfId="0" applyNumberFormat="1" applyFont="1" applyBorder="1"/>
    <xf numFmtId="164" fontId="7" fillId="0" borderId="1" xfId="0" applyNumberFormat="1" applyFont="1" applyBorder="1"/>
    <xf numFmtId="166" fontId="2" fillId="0" borderId="1" xfId="0" applyNumberFormat="1" applyFont="1" applyBorder="1"/>
    <xf numFmtId="166" fontId="8" fillId="0" borderId="1" xfId="0" applyNumberFormat="1" applyFont="1" applyBorder="1"/>
    <xf numFmtId="49" fontId="2" fillId="0" borderId="1" xfId="0" applyNumberFormat="1" applyFont="1" applyBorder="1"/>
    <xf numFmtId="169" fontId="2" fillId="0" borderId="1" xfId="0" applyNumberFormat="1" applyFont="1" applyBorder="1"/>
    <xf numFmtId="170" fontId="2" fillId="0" borderId="1" xfId="0" applyNumberFormat="1" applyFont="1" applyBorder="1"/>
    <xf numFmtId="167" fontId="2" fillId="0" borderId="1" xfId="0" applyNumberFormat="1" applyFont="1" applyBorder="1"/>
    <xf numFmtId="0" fontId="4" fillId="0" borderId="0" xfId="0" applyFont="1" applyAlignment="1">
      <alignment vertical="top" wrapText="1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28"/>
  <sheetViews>
    <sheetView workbookViewId="0"/>
  </sheetViews>
  <sheetFormatPr defaultRowHeight="15" x14ac:dyDescent="0.25"/>
  <cols>
    <col min="1" max="1" width="2" customWidth="1"/>
    <col min="2" max="2" width="110" customWidth="1"/>
  </cols>
  <sheetData>
    <row r="1" spans="2:2" ht="18" x14ac:dyDescent="0.25">
      <c r="B1" s="1" t="s">
        <v>16</v>
      </c>
    </row>
    <row r="2" spans="2:2" x14ac:dyDescent="0.25">
      <c r="B2" s="2"/>
    </row>
    <row r="3" spans="2:2" x14ac:dyDescent="0.25">
      <c r="B3" s="3" t="s">
        <v>17</v>
      </c>
    </row>
    <row r="4" spans="2:2" ht="42.75" x14ac:dyDescent="0.25">
      <c r="B4" s="2" t="s">
        <v>18</v>
      </c>
    </row>
    <row r="5" spans="2:2" x14ac:dyDescent="0.25">
      <c r="B5" s="2"/>
    </row>
    <row r="6" spans="2:2" x14ac:dyDescent="0.25">
      <c r="B6" s="3" t="s">
        <v>19</v>
      </c>
    </row>
    <row r="7" spans="2:2" ht="42.75" x14ac:dyDescent="0.25">
      <c r="B7" s="2" t="s">
        <v>20</v>
      </c>
    </row>
    <row r="8" spans="2:2" ht="28.5" x14ac:dyDescent="0.25">
      <c r="B8" s="2" t="s">
        <v>21</v>
      </c>
    </row>
    <row r="9" spans="2:2" x14ac:dyDescent="0.25">
      <c r="B9" s="2" t="s">
        <v>22</v>
      </c>
    </row>
    <row r="10" spans="2:2" x14ac:dyDescent="0.25">
      <c r="B10" s="2"/>
    </row>
    <row r="11" spans="2:2" x14ac:dyDescent="0.25">
      <c r="B11" s="3" t="s">
        <v>23</v>
      </c>
    </row>
    <row r="12" spans="2:2" ht="28.5" x14ac:dyDescent="0.25">
      <c r="B12" s="2" t="s">
        <v>24</v>
      </c>
    </row>
    <row r="13" spans="2:2" x14ac:dyDescent="0.25">
      <c r="B13" s="2"/>
    </row>
    <row r="14" spans="2:2" x14ac:dyDescent="0.25">
      <c r="B14" s="3" t="s">
        <v>25</v>
      </c>
    </row>
    <row r="15" spans="2:2" ht="42.75" x14ac:dyDescent="0.25">
      <c r="B15" s="2" t="s">
        <v>26</v>
      </c>
    </row>
    <row r="16" spans="2:2" ht="42.75" x14ac:dyDescent="0.25">
      <c r="B16" s="2" t="s">
        <v>27</v>
      </c>
    </row>
    <row r="17" spans="2:2" ht="28.5" x14ac:dyDescent="0.25">
      <c r="B17" s="2" t="s">
        <v>28</v>
      </c>
    </row>
    <row r="18" spans="2:2" x14ac:dyDescent="0.25">
      <c r="B18" s="2"/>
    </row>
    <row r="19" spans="2:2" x14ac:dyDescent="0.25">
      <c r="B19" s="3" t="s">
        <v>29</v>
      </c>
    </row>
    <row r="20" spans="2:2" ht="42.75" x14ac:dyDescent="0.25">
      <c r="B20" s="2" t="s">
        <v>30</v>
      </c>
    </row>
    <row r="21" spans="2:2" ht="42.75" x14ac:dyDescent="0.25">
      <c r="B21" s="2" t="s">
        <v>31</v>
      </c>
    </row>
    <row r="22" spans="2:2" x14ac:dyDescent="0.25">
      <c r="B22" s="2"/>
    </row>
    <row r="23" spans="2:2" x14ac:dyDescent="0.25">
      <c r="B23" s="3" t="s">
        <v>32</v>
      </c>
    </row>
    <row r="24" spans="2:2" x14ac:dyDescent="0.25">
      <c r="B24" s="2" t="s">
        <v>33</v>
      </c>
    </row>
    <row r="25" spans="2:2" x14ac:dyDescent="0.25">
      <c r="B25" s="2" t="s">
        <v>34</v>
      </c>
    </row>
    <row r="26" spans="2:2" x14ac:dyDescent="0.25">
      <c r="B26" s="2" t="s">
        <v>35</v>
      </c>
    </row>
    <row r="27" spans="2:2" x14ac:dyDescent="0.25">
      <c r="B27" s="2" t="s">
        <v>36</v>
      </c>
    </row>
    <row r="28" spans="2:2" ht="28.5" x14ac:dyDescent="0.25">
      <c r="B28" s="2" t="s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4"/>
  <sheetViews>
    <sheetView showGridLines="0" workbookViewId="0"/>
  </sheetViews>
  <sheetFormatPr defaultRowHeight="15" x14ac:dyDescent="0.25"/>
  <cols>
    <col min="1" max="1" width="2" customWidth="1"/>
    <col min="2" max="2" width="58" customWidth="1"/>
    <col min="3" max="5" width="18" customWidth="1"/>
  </cols>
  <sheetData>
    <row r="1" spans="1:5" ht="18" x14ac:dyDescent="0.25">
      <c r="A1" s="4"/>
      <c r="B1" s="5" t="s">
        <v>38</v>
      </c>
      <c r="C1" s="4"/>
      <c r="D1" s="4"/>
      <c r="E1" s="4"/>
    </row>
    <row r="2" spans="1:5" x14ac:dyDescent="0.25">
      <c r="A2" s="4"/>
      <c r="B2" s="6" t="s">
        <v>37</v>
      </c>
      <c r="C2" s="4"/>
      <c r="D2" s="4"/>
      <c r="E2" s="4"/>
    </row>
    <row r="3" spans="1:5" x14ac:dyDescent="0.25">
      <c r="A3" s="4"/>
      <c r="B3" s="4"/>
      <c r="C3" s="4"/>
      <c r="D3" s="4"/>
      <c r="E3" s="4"/>
    </row>
    <row r="4" spans="1:5" x14ac:dyDescent="0.25">
      <c r="A4" s="4"/>
      <c r="B4" s="7" t="s">
        <v>39</v>
      </c>
      <c r="C4" s="8"/>
      <c r="D4" s="4"/>
      <c r="E4" s="4"/>
    </row>
    <row r="5" spans="1:5" x14ac:dyDescent="0.25">
      <c r="A5" s="4"/>
      <c r="B5" s="2" t="s">
        <v>40</v>
      </c>
      <c r="C5" s="9">
        <v>30</v>
      </c>
      <c r="D5" s="4"/>
      <c r="E5" s="4"/>
    </row>
    <row r="6" spans="1:5" x14ac:dyDescent="0.25">
      <c r="A6" s="4"/>
      <c r="B6" s="2" t="s">
        <v>41</v>
      </c>
      <c r="C6" s="9">
        <v>8</v>
      </c>
      <c r="D6" s="4"/>
      <c r="E6" s="4"/>
    </row>
    <row r="7" spans="1:5" ht="28.5" x14ac:dyDescent="0.25">
      <c r="A7" s="4"/>
      <c r="B7" s="2" t="s">
        <v>42</v>
      </c>
      <c r="C7" s="9">
        <v>1</v>
      </c>
      <c r="D7" s="4"/>
      <c r="E7" s="4"/>
    </row>
    <row r="8" spans="1:5" x14ac:dyDescent="0.25">
      <c r="A8" s="4"/>
      <c r="B8" s="7" t="s">
        <v>43</v>
      </c>
      <c r="C8" s="8"/>
      <c r="D8" s="4"/>
      <c r="E8" s="4"/>
    </row>
    <row r="9" spans="1:5" x14ac:dyDescent="0.25">
      <c r="A9" s="4"/>
      <c r="B9" s="2" t="s">
        <v>44</v>
      </c>
      <c r="C9" s="10">
        <v>0.9</v>
      </c>
      <c r="D9" s="4"/>
      <c r="E9" s="4"/>
    </row>
    <row r="10" spans="1:5" x14ac:dyDescent="0.25">
      <c r="A10" s="4"/>
      <c r="B10" s="2" t="s">
        <v>45</v>
      </c>
      <c r="C10" s="9">
        <v>256</v>
      </c>
      <c r="D10" s="4"/>
      <c r="E10" s="4"/>
    </row>
    <row r="11" spans="1:5" x14ac:dyDescent="0.25">
      <c r="A11" s="4"/>
      <c r="B11" s="2" t="s">
        <v>46</v>
      </c>
      <c r="C11" s="9">
        <v>100</v>
      </c>
      <c r="D11" s="4"/>
      <c r="E11" s="4"/>
    </row>
    <row r="12" spans="1:5" x14ac:dyDescent="0.25">
      <c r="A12" s="4"/>
      <c r="B12" s="2" t="s">
        <v>47</v>
      </c>
      <c r="C12" s="11">
        <v>0.2</v>
      </c>
      <c r="D12" s="4"/>
      <c r="E12" s="4"/>
    </row>
    <row r="13" spans="1:5" x14ac:dyDescent="0.25">
      <c r="A13" s="4"/>
      <c r="B13" s="2" t="s">
        <v>48</v>
      </c>
      <c r="C13" s="12">
        <v>1.6666700000000001E-5</v>
      </c>
      <c r="D13" s="4"/>
      <c r="E13" s="4"/>
    </row>
    <row r="14" spans="1:5" x14ac:dyDescent="0.25">
      <c r="A14" s="4"/>
      <c r="B14" s="7" t="s">
        <v>49</v>
      </c>
      <c r="C14" s="8"/>
      <c r="D14" s="4"/>
      <c r="E14" s="4"/>
    </row>
    <row r="15" spans="1:5" x14ac:dyDescent="0.25">
      <c r="A15" s="4"/>
      <c r="B15" s="2" t="s">
        <v>50</v>
      </c>
      <c r="C15" s="12">
        <v>4.0000000000000002E-4</v>
      </c>
      <c r="D15" s="4"/>
      <c r="E15" s="4"/>
    </row>
    <row r="16" spans="1:5" x14ac:dyDescent="0.25">
      <c r="A16" s="4"/>
      <c r="B16" s="7" t="s">
        <v>51</v>
      </c>
      <c r="C16" s="8"/>
      <c r="D16" s="4"/>
      <c r="E16" s="4"/>
    </row>
    <row r="17" spans="1:5" x14ac:dyDescent="0.25">
      <c r="A17" s="4"/>
      <c r="B17" s="2" t="s">
        <v>52</v>
      </c>
      <c r="C17" s="10">
        <v>0.8</v>
      </c>
      <c r="D17" s="4"/>
      <c r="E17" s="4"/>
    </row>
    <row r="18" spans="1:5" x14ac:dyDescent="0.25">
      <c r="A18" s="4"/>
      <c r="B18" s="2" t="s">
        <v>53</v>
      </c>
      <c r="C18" s="9">
        <v>1024</v>
      </c>
      <c r="D18" s="4"/>
      <c r="E18" s="4"/>
    </row>
    <row r="19" spans="1:5" x14ac:dyDescent="0.25">
      <c r="A19" s="4"/>
      <c r="B19" s="2" t="s">
        <v>54</v>
      </c>
      <c r="C19" s="9">
        <v>10000000</v>
      </c>
      <c r="D19" s="4"/>
      <c r="E19" s="4"/>
    </row>
    <row r="20" spans="1:5" x14ac:dyDescent="0.25">
      <c r="A20" s="4"/>
      <c r="B20" s="2" t="s">
        <v>55</v>
      </c>
      <c r="C20" s="12">
        <v>0.01</v>
      </c>
      <c r="D20" s="4"/>
      <c r="E20" s="4"/>
    </row>
    <row r="21" spans="1:5" x14ac:dyDescent="0.25">
      <c r="A21" s="4"/>
      <c r="B21" s="4"/>
      <c r="C21" s="4"/>
      <c r="D21" s="4"/>
      <c r="E21" s="4"/>
    </row>
    <row r="22" spans="1:5" x14ac:dyDescent="0.25">
      <c r="A22" s="4"/>
      <c r="B22" s="7" t="s">
        <v>56</v>
      </c>
      <c r="C22" s="8"/>
      <c r="D22" s="8"/>
      <c r="E22" s="8"/>
    </row>
    <row r="23" spans="1:5" x14ac:dyDescent="0.25">
      <c r="A23" s="4"/>
      <c r="B23" s="13" t="s">
        <v>57</v>
      </c>
      <c r="C23" s="13" t="s">
        <v>58</v>
      </c>
      <c r="D23" s="13" t="s">
        <v>59</v>
      </c>
      <c r="E23" s="13" t="s">
        <v>60</v>
      </c>
    </row>
    <row r="24" spans="1:5" x14ac:dyDescent="0.25">
      <c r="A24" s="4"/>
      <c r="B24" s="14" t="s">
        <v>61</v>
      </c>
      <c r="C24" s="9">
        <v>0</v>
      </c>
      <c r="D24" s="9">
        <v>333</v>
      </c>
      <c r="E24" s="12">
        <v>3.5</v>
      </c>
    </row>
    <row r="25" spans="1:5" x14ac:dyDescent="0.25">
      <c r="A25" s="4"/>
      <c r="B25" s="14" t="s">
        <v>62</v>
      </c>
      <c r="C25" s="9">
        <v>333</v>
      </c>
      <c r="D25" s="9">
        <v>1000</v>
      </c>
      <c r="E25" s="12">
        <v>2.8</v>
      </c>
    </row>
    <row r="26" spans="1:5" x14ac:dyDescent="0.25">
      <c r="A26" s="4"/>
      <c r="B26" s="14" t="s">
        <v>63</v>
      </c>
      <c r="C26" s="9">
        <v>1000</v>
      </c>
      <c r="D26" s="9">
        <v>20000</v>
      </c>
      <c r="E26" s="12">
        <v>2.38</v>
      </c>
    </row>
    <row r="27" spans="1:5" x14ac:dyDescent="0.25">
      <c r="A27" s="4"/>
      <c r="B27" s="14" t="s">
        <v>64</v>
      </c>
      <c r="C27" s="9">
        <v>20000</v>
      </c>
      <c r="D27" s="9">
        <v>1000000000000</v>
      </c>
      <c r="E27" s="12">
        <v>1.51</v>
      </c>
    </row>
    <row r="28" spans="1:5" x14ac:dyDescent="0.25">
      <c r="A28" s="4"/>
      <c r="B28" s="6" t="s">
        <v>65</v>
      </c>
      <c r="C28" s="4"/>
      <c r="D28" s="4"/>
      <c r="E28" s="4"/>
    </row>
    <row r="29" spans="1:5" x14ac:dyDescent="0.25">
      <c r="A29" s="4"/>
      <c r="B29" s="4"/>
      <c r="C29" s="4"/>
      <c r="D29" s="4"/>
      <c r="E29" s="4"/>
    </row>
    <row r="30" spans="1:5" x14ac:dyDescent="0.25">
      <c r="A30" s="4"/>
      <c r="B30" s="7" t="s">
        <v>66</v>
      </c>
      <c r="C30" s="8"/>
      <c r="D30" s="8"/>
      <c r="E30" s="8"/>
    </row>
    <row r="31" spans="1:5" x14ac:dyDescent="0.25">
      <c r="A31" s="4"/>
      <c r="B31" s="13" t="s">
        <v>57</v>
      </c>
      <c r="C31" s="13" t="s">
        <v>67</v>
      </c>
      <c r="D31" s="13" t="s">
        <v>68</v>
      </c>
      <c r="E31" s="13" t="s">
        <v>60</v>
      </c>
    </row>
    <row r="32" spans="1:5" x14ac:dyDescent="0.25">
      <c r="A32" s="4"/>
      <c r="B32" s="14" t="s">
        <v>69</v>
      </c>
      <c r="C32" s="9">
        <v>0</v>
      </c>
      <c r="D32" s="9">
        <v>10240</v>
      </c>
      <c r="E32" s="12">
        <v>0.09</v>
      </c>
    </row>
    <row r="33" spans="1:5" x14ac:dyDescent="0.25">
      <c r="A33" s="4"/>
      <c r="B33" s="14" t="s">
        <v>70</v>
      </c>
      <c r="C33" s="9">
        <v>10240</v>
      </c>
      <c r="D33" s="9">
        <v>51200</v>
      </c>
      <c r="E33" s="12">
        <v>8.5000000000000006E-2</v>
      </c>
    </row>
    <row r="34" spans="1:5" x14ac:dyDescent="0.25">
      <c r="A34" s="4"/>
      <c r="B34" s="14" t="s">
        <v>71</v>
      </c>
      <c r="C34" s="9">
        <v>51200</v>
      </c>
      <c r="D34" s="9">
        <v>153600</v>
      </c>
      <c r="E34" s="12">
        <v>7.0000000000000007E-2</v>
      </c>
    </row>
    <row r="35" spans="1:5" x14ac:dyDescent="0.25">
      <c r="A35" s="4"/>
      <c r="B35" s="14" t="s">
        <v>72</v>
      </c>
      <c r="C35" s="9">
        <v>153600</v>
      </c>
      <c r="D35" s="9">
        <v>1000000000000</v>
      </c>
      <c r="E35" s="12">
        <v>0.05</v>
      </c>
    </row>
    <row r="36" spans="1:5" x14ac:dyDescent="0.25">
      <c r="A36" s="4"/>
      <c r="B36" s="6" t="s">
        <v>73</v>
      </c>
      <c r="C36" s="4"/>
      <c r="D36" s="4"/>
      <c r="E36" s="4"/>
    </row>
    <row r="37" spans="1:5" x14ac:dyDescent="0.25">
      <c r="A37" s="4"/>
      <c r="B37" s="4"/>
      <c r="C37" s="4"/>
      <c r="D37" s="4"/>
      <c r="E37" s="4"/>
    </row>
    <row r="38" spans="1:5" x14ac:dyDescent="0.25">
      <c r="A38" s="4"/>
      <c r="B38" s="7" t="s">
        <v>74</v>
      </c>
      <c r="C38" s="8"/>
      <c r="D38" s="8"/>
      <c r="E38" s="8"/>
    </row>
    <row r="39" spans="1:5" x14ac:dyDescent="0.25">
      <c r="A39" s="4"/>
      <c r="B39" s="13" t="s">
        <v>57</v>
      </c>
      <c r="C39" s="13" t="s">
        <v>67</v>
      </c>
      <c r="D39" s="13" t="s">
        <v>68</v>
      </c>
      <c r="E39" s="13" t="s">
        <v>60</v>
      </c>
    </row>
    <row r="40" spans="1:5" x14ac:dyDescent="0.25">
      <c r="A40" s="4"/>
      <c r="B40" s="14" t="s">
        <v>69</v>
      </c>
      <c r="C40" s="9">
        <v>0</v>
      </c>
      <c r="D40" s="9">
        <v>10240</v>
      </c>
      <c r="E40" s="12">
        <v>8.5000000000000006E-2</v>
      </c>
    </row>
    <row r="41" spans="1:5" x14ac:dyDescent="0.25">
      <c r="A41" s="4"/>
      <c r="B41" s="14" t="s">
        <v>70</v>
      </c>
      <c r="C41" s="9">
        <v>10240</v>
      </c>
      <c r="D41" s="9">
        <v>51200</v>
      </c>
      <c r="E41" s="12">
        <v>0.08</v>
      </c>
    </row>
    <row r="42" spans="1:5" x14ac:dyDescent="0.25">
      <c r="A42" s="4"/>
      <c r="B42" s="14" t="s">
        <v>71</v>
      </c>
      <c r="C42" s="9">
        <v>51200</v>
      </c>
      <c r="D42" s="9">
        <v>153600</v>
      </c>
      <c r="E42" s="12">
        <v>0.06</v>
      </c>
    </row>
    <row r="43" spans="1:5" x14ac:dyDescent="0.25">
      <c r="A43" s="4"/>
      <c r="B43" s="14" t="s">
        <v>75</v>
      </c>
      <c r="C43" s="9">
        <v>153600</v>
      </c>
      <c r="D43" s="9">
        <v>512000</v>
      </c>
      <c r="E43" s="12">
        <v>0.04</v>
      </c>
    </row>
    <row r="44" spans="1:5" x14ac:dyDescent="0.25">
      <c r="A44" s="4"/>
      <c r="B44" s="14" t="s">
        <v>76</v>
      </c>
      <c r="C44" s="9">
        <v>512000</v>
      </c>
      <c r="D44" s="9">
        <v>1048576</v>
      </c>
      <c r="E44" s="12">
        <v>0.03</v>
      </c>
    </row>
    <row r="45" spans="1:5" x14ac:dyDescent="0.25">
      <c r="A45" s="4"/>
      <c r="B45" s="14" t="s">
        <v>77</v>
      </c>
      <c r="C45" s="9">
        <v>1048576</v>
      </c>
      <c r="D45" s="9">
        <v>1000000000000</v>
      </c>
      <c r="E45" s="12">
        <v>2.5000000000000001E-2</v>
      </c>
    </row>
    <row r="46" spans="1:5" x14ac:dyDescent="0.25">
      <c r="A46" s="4"/>
      <c r="B46" s="6" t="s">
        <v>78</v>
      </c>
      <c r="C46" s="4"/>
      <c r="D46" s="4"/>
      <c r="E46" s="4"/>
    </row>
    <row r="47" spans="1:5" x14ac:dyDescent="0.25">
      <c r="A47" s="4"/>
      <c r="B47" s="4"/>
      <c r="C47" s="4"/>
      <c r="D47" s="4"/>
      <c r="E47" s="4"/>
    </row>
    <row r="48" spans="1:5" x14ac:dyDescent="0.25">
      <c r="A48" s="4"/>
      <c r="B48" s="7" t="s">
        <v>79</v>
      </c>
      <c r="C48" s="8"/>
      <c r="D48" s="8"/>
      <c r="E48" s="8"/>
    </row>
    <row r="49" spans="1:5" ht="30" x14ac:dyDescent="0.25">
      <c r="A49" s="4"/>
      <c r="B49" s="13" t="s">
        <v>80</v>
      </c>
      <c r="C49" s="13" t="s">
        <v>81</v>
      </c>
      <c r="D49" s="13" t="s">
        <v>82</v>
      </c>
      <c r="E49" s="13" t="s">
        <v>83</v>
      </c>
    </row>
    <row r="50" spans="1:5" x14ac:dyDescent="0.25">
      <c r="A50" s="4"/>
      <c r="B50" s="15" t="s">
        <v>84</v>
      </c>
      <c r="C50" s="11">
        <v>0</v>
      </c>
      <c r="D50" s="9">
        <v>1000000</v>
      </c>
      <c r="E50" s="9">
        <v>100</v>
      </c>
    </row>
    <row r="51" spans="1:5" x14ac:dyDescent="0.25">
      <c r="A51" s="4"/>
      <c r="B51" s="15" t="s">
        <v>85</v>
      </c>
      <c r="C51" s="11">
        <v>15</v>
      </c>
      <c r="D51" s="9">
        <v>10000000</v>
      </c>
      <c r="E51" s="9">
        <v>51200</v>
      </c>
    </row>
    <row r="52" spans="1:5" x14ac:dyDescent="0.25">
      <c r="A52" s="4"/>
      <c r="B52" s="15" t="s">
        <v>86</v>
      </c>
      <c r="C52" s="11">
        <v>200</v>
      </c>
      <c r="D52" s="9">
        <v>125000000</v>
      </c>
      <c r="E52" s="9">
        <v>51200</v>
      </c>
    </row>
    <row r="53" spans="1:5" x14ac:dyDescent="0.25">
      <c r="A53" s="4"/>
      <c r="B53" s="15" t="s">
        <v>87</v>
      </c>
      <c r="C53" s="11">
        <v>1000</v>
      </c>
      <c r="D53" s="9">
        <v>500000000</v>
      </c>
      <c r="E53" s="9">
        <v>51200</v>
      </c>
    </row>
    <row r="54" spans="1:5" ht="42.75" x14ac:dyDescent="0.25">
      <c r="A54" s="4"/>
      <c r="B54" s="16" t="s">
        <v>88</v>
      </c>
      <c r="C54" s="4"/>
      <c r="D54" s="4"/>
      <c r="E54" s="4"/>
    </row>
  </sheetData>
  <dataValidations count="2">
    <dataValidation type="decimal" error="Informe um valor entre 0 e 1 (ex.: 0,9 = 90%)." sqref="C9 C17" xr:uid="{00000000-0002-0000-0100-000000000000}">
      <formula1>0</formula1>
      <formula2>1</formula2>
    </dataValidation>
    <dataValidation type="whole" error="Use 1 (uma requisição por arquivo) ou 0 (mesmos blocos do API Gateway)." sqref="C7" xr:uid="{00000000-0002-0000-0100-000001000000}">
      <formula1>0</formula1>
      <formula2>1</formula2>
    </dataValidation>
  </dataValidations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3"/>
  <sheetViews>
    <sheetView showGridLines="0" tabSelected="1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" customWidth="1"/>
    <col min="2" max="2" width="26" customWidth="1"/>
    <col min="3" max="3" width="16" customWidth="1"/>
    <col min="4" max="4" width="14" customWidth="1"/>
    <col min="5" max="5" width="13" customWidth="1"/>
    <col min="6" max="6" width="16" customWidth="1"/>
    <col min="7" max="8" width="14" customWidth="1"/>
    <col min="9" max="10" width="18" customWidth="1"/>
  </cols>
  <sheetData>
    <row r="1" spans="1:10" ht="18" x14ac:dyDescent="0.25">
      <c r="A1" s="4"/>
      <c r="B1" s="5" t="s">
        <v>0</v>
      </c>
      <c r="C1" s="4"/>
      <c r="D1" s="4"/>
      <c r="E1" s="4"/>
      <c r="F1" s="4"/>
      <c r="G1" s="4"/>
      <c r="H1" s="4"/>
      <c r="I1" s="4"/>
      <c r="J1" s="4"/>
    </row>
    <row r="2" spans="1:10" x14ac:dyDescent="0.25">
      <c r="A2" s="4"/>
      <c r="B2" s="17" t="s">
        <v>1</v>
      </c>
      <c r="C2" s="18">
        <v>1</v>
      </c>
      <c r="D2" s="6" t="s">
        <v>2</v>
      </c>
      <c r="E2" s="4"/>
      <c r="F2" s="4"/>
      <c r="G2" s="4"/>
      <c r="H2" s="4"/>
      <c r="I2" s="4"/>
      <c r="J2" s="4"/>
    </row>
    <row r="3" spans="1:10" x14ac:dyDescent="0.25">
      <c r="A3" s="4"/>
      <c r="B3" s="4"/>
      <c r="C3" s="4"/>
      <c r="D3" s="4"/>
      <c r="E3" s="4"/>
      <c r="F3" s="4"/>
      <c r="G3" s="4"/>
      <c r="H3" s="4"/>
      <c r="I3" s="4"/>
      <c r="J3" s="4"/>
    </row>
    <row r="4" spans="1:10" ht="45" customHeight="1" x14ac:dyDescent="0.25">
      <c r="A4" s="4"/>
      <c r="B4" s="13" t="s">
        <v>3</v>
      </c>
      <c r="C4" s="13" t="s">
        <v>4</v>
      </c>
      <c r="D4" s="13" t="s">
        <v>5</v>
      </c>
      <c r="E4" s="13" t="s">
        <v>6</v>
      </c>
      <c r="F4" s="13" t="s">
        <v>7</v>
      </c>
      <c r="G4" s="13" t="s">
        <v>8</v>
      </c>
      <c r="H4" s="13" t="s">
        <v>9</v>
      </c>
      <c r="I4" s="13" t="s">
        <v>10</v>
      </c>
      <c r="J4" s="13" t="s">
        <v>11</v>
      </c>
    </row>
    <row r="5" spans="1:10" x14ac:dyDescent="0.25">
      <c r="A5" s="4"/>
      <c r="B5" s="19" t="s">
        <v>12</v>
      </c>
      <c r="C5" s="18">
        <v>50000</v>
      </c>
      <c r="D5" s="20">
        <v>0.2</v>
      </c>
      <c r="E5" s="21">
        <v>0</v>
      </c>
      <c r="F5" s="21">
        <v>0.02</v>
      </c>
      <c r="G5" s="22">
        <f t="shared" ref="G5:G19" si="0">C5*D5/1024</f>
        <v>9.765625</v>
      </c>
      <c r="H5" s="23">
        <f>IF(D5&gt;0,ROUNDUP(D5/Premissas!$C$6,0),0)</f>
        <v>1</v>
      </c>
      <c r="I5" s="23">
        <f t="shared" ref="I5:I19" si="1">C5*(H5+E5)*(1+F5)</f>
        <v>51000</v>
      </c>
      <c r="J5" s="23">
        <f>C5*(IF(Premissas!$C$7=1,IF(D5&gt;0,1,0),H5)+E5)*(1+F5)</f>
        <v>51000</v>
      </c>
    </row>
    <row r="6" spans="1:10" x14ac:dyDescent="0.25">
      <c r="A6" s="4"/>
      <c r="B6" s="19" t="s">
        <v>13</v>
      </c>
      <c r="C6" s="18">
        <v>500</v>
      </c>
      <c r="D6" s="20">
        <v>100</v>
      </c>
      <c r="E6" s="21">
        <v>1</v>
      </c>
      <c r="F6" s="21">
        <v>0.05</v>
      </c>
      <c r="G6" s="22">
        <f t="shared" si="0"/>
        <v>48.828125</v>
      </c>
      <c r="H6" s="23">
        <f>IF(D6&gt;0,ROUNDUP(D6/Premissas!$C$6,0),0)</f>
        <v>13</v>
      </c>
      <c r="I6" s="23">
        <f t="shared" si="1"/>
        <v>7350</v>
      </c>
      <c r="J6" s="23">
        <f>C6*(IF(Premissas!$C$7=1,IF(D6&gt;0,1,0),H6)+E6)*(1+F6)</f>
        <v>1050</v>
      </c>
    </row>
    <row r="7" spans="1:10" x14ac:dyDescent="0.25">
      <c r="A7" s="4"/>
      <c r="B7" s="19"/>
      <c r="C7" s="18"/>
      <c r="D7" s="20"/>
      <c r="E7" s="21"/>
      <c r="F7" s="21"/>
      <c r="G7" s="22">
        <f t="shared" si="0"/>
        <v>0</v>
      </c>
      <c r="H7" s="23">
        <f>IF(D7&gt;0,ROUNDUP(D7/Premissas!$C$6,0),0)</f>
        <v>0</v>
      </c>
      <c r="I7" s="23">
        <f t="shared" si="1"/>
        <v>0</v>
      </c>
      <c r="J7" s="23">
        <f>C7*(IF(Premissas!$C$7=1,IF(D7&gt;0,1,0),H7)+E7)*(1+F7)</f>
        <v>0</v>
      </c>
    </row>
    <row r="8" spans="1:10" x14ac:dyDescent="0.25">
      <c r="A8" s="4"/>
      <c r="B8" s="19"/>
      <c r="C8" s="18"/>
      <c r="D8" s="20"/>
      <c r="E8" s="21"/>
      <c r="F8" s="21"/>
      <c r="G8" s="22">
        <f t="shared" si="0"/>
        <v>0</v>
      </c>
      <c r="H8" s="23">
        <f>IF(D8&gt;0,ROUNDUP(D8/Premissas!$C$6,0),0)</f>
        <v>0</v>
      </c>
      <c r="I8" s="23">
        <f t="shared" si="1"/>
        <v>0</v>
      </c>
      <c r="J8" s="23">
        <f>C8*(IF(Premissas!$C$7=1,IF(D8&gt;0,1,0),H8)+E8)*(1+F8)</f>
        <v>0</v>
      </c>
    </row>
    <row r="9" spans="1:10" x14ac:dyDescent="0.25">
      <c r="A9" s="4"/>
      <c r="B9" s="19"/>
      <c r="C9" s="18"/>
      <c r="D9" s="20"/>
      <c r="E9" s="21"/>
      <c r="F9" s="21"/>
      <c r="G9" s="22">
        <f t="shared" si="0"/>
        <v>0</v>
      </c>
      <c r="H9" s="23">
        <f>IF(D9&gt;0,ROUNDUP(D9/Premissas!$C$6,0),0)</f>
        <v>0</v>
      </c>
      <c r="I9" s="23">
        <f t="shared" si="1"/>
        <v>0</v>
      </c>
      <c r="J9" s="23">
        <f>C9*(IF(Premissas!$C$7=1,IF(D9&gt;0,1,0),H9)+E9)*(1+F9)</f>
        <v>0</v>
      </c>
    </row>
    <row r="10" spans="1:10" x14ac:dyDescent="0.25">
      <c r="A10" s="4"/>
      <c r="B10" s="19"/>
      <c r="C10" s="18"/>
      <c r="D10" s="20"/>
      <c r="E10" s="21"/>
      <c r="F10" s="21"/>
      <c r="G10" s="22">
        <f t="shared" si="0"/>
        <v>0</v>
      </c>
      <c r="H10" s="23">
        <f>IF(D10&gt;0,ROUNDUP(D10/Premissas!$C$6,0),0)</f>
        <v>0</v>
      </c>
      <c r="I10" s="23">
        <f t="shared" si="1"/>
        <v>0</v>
      </c>
      <c r="J10" s="23">
        <f>C10*(IF(Premissas!$C$7=1,IF(D10&gt;0,1,0),H10)+E10)*(1+F10)</f>
        <v>0</v>
      </c>
    </row>
    <row r="11" spans="1:10" x14ac:dyDescent="0.25">
      <c r="A11" s="4"/>
      <c r="B11" s="19"/>
      <c r="C11" s="18"/>
      <c r="D11" s="20"/>
      <c r="E11" s="21"/>
      <c r="F11" s="21"/>
      <c r="G11" s="22">
        <f t="shared" si="0"/>
        <v>0</v>
      </c>
      <c r="H11" s="23">
        <f>IF(D11&gt;0,ROUNDUP(D11/Premissas!$C$6,0),0)</f>
        <v>0</v>
      </c>
      <c r="I11" s="23">
        <f t="shared" si="1"/>
        <v>0</v>
      </c>
      <c r="J11" s="23">
        <f>C11*(IF(Premissas!$C$7=1,IF(D11&gt;0,1,0),H11)+E11)*(1+F11)</f>
        <v>0</v>
      </c>
    </row>
    <row r="12" spans="1:10" x14ac:dyDescent="0.25">
      <c r="A12" s="4"/>
      <c r="B12" s="19"/>
      <c r="C12" s="18"/>
      <c r="D12" s="20"/>
      <c r="E12" s="21"/>
      <c r="F12" s="21"/>
      <c r="G12" s="22">
        <f t="shared" si="0"/>
        <v>0</v>
      </c>
      <c r="H12" s="23">
        <f>IF(D12&gt;0,ROUNDUP(D12/Premissas!$C$6,0),0)</f>
        <v>0</v>
      </c>
      <c r="I12" s="23">
        <f t="shared" si="1"/>
        <v>0</v>
      </c>
      <c r="J12" s="23">
        <f>C12*(IF(Premissas!$C$7=1,IF(D12&gt;0,1,0),H12)+E12)*(1+F12)</f>
        <v>0</v>
      </c>
    </row>
    <row r="13" spans="1:10" x14ac:dyDescent="0.25">
      <c r="A13" s="4"/>
      <c r="B13" s="19"/>
      <c r="C13" s="18"/>
      <c r="D13" s="20"/>
      <c r="E13" s="21"/>
      <c r="F13" s="21"/>
      <c r="G13" s="22">
        <f t="shared" si="0"/>
        <v>0</v>
      </c>
      <c r="H13" s="23">
        <f>IF(D13&gt;0,ROUNDUP(D13/Premissas!$C$6,0),0)</f>
        <v>0</v>
      </c>
      <c r="I13" s="23">
        <f t="shared" si="1"/>
        <v>0</v>
      </c>
      <c r="J13" s="23">
        <f>C13*(IF(Premissas!$C$7=1,IF(D13&gt;0,1,0),H13)+E13)*(1+F13)</f>
        <v>0</v>
      </c>
    </row>
    <row r="14" spans="1:10" x14ac:dyDescent="0.25">
      <c r="A14" s="4"/>
      <c r="B14" s="19"/>
      <c r="C14" s="18"/>
      <c r="D14" s="20"/>
      <c r="E14" s="21"/>
      <c r="F14" s="21"/>
      <c r="G14" s="22">
        <f t="shared" si="0"/>
        <v>0</v>
      </c>
      <c r="H14" s="23">
        <f>IF(D14&gt;0,ROUNDUP(D14/Premissas!$C$6,0),0)</f>
        <v>0</v>
      </c>
      <c r="I14" s="23">
        <f t="shared" si="1"/>
        <v>0</v>
      </c>
      <c r="J14" s="23">
        <f>C14*(IF(Premissas!$C$7=1,IF(D14&gt;0,1,0),H14)+E14)*(1+F14)</f>
        <v>0</v>
      </c>
    </row>
    <row r="15" spans="1:10" x14ac:dyDescent="0.25">
      <c r="A15" s="4"/>
      <c r="B15" s="19"/>
      <c r="C15" s="18"/>
      <c r="D15" s="20"/>
      <c r="E15" s="21"/>
      <c r="F15" s="21"/>
      <c r="G15" s="22">
        <f t="shared" si="0"/>
        <v>0</v>
      </c>
      <c r="H15" s="23">
        <f>IF(D15&gt;0,ROUNDUP(D15/Premissas!$C$6,0),0)</f>
        <v>0</v>
      </c>
      <c r="I15" s="23">
        <f t="shared" si="1"/>
        <v>0</v>
      </c>
      <c r="J15" s="23">
        <f>C15*(IF(Premissas!$C$7=1,IF(D15&gt;0,1,0),H15)+E15)*(1+F15)</f>
        <v>0</v>
      </c>
    </row>
    <row r="16" spans="1:10" x14ac:dyDescent="0.25">
      <c r="A16" s="4"/>
      <c r="B16" s="19"/>
      <c r="C16" s="18"/>
      <c r="D16" s="20"/>
      <c r="E16" s="21"/>
      <c r="F16" s="21"/>
      <c r="G16" s="22">
        <f t="shared" si="0"/>
        <v>0</v>
      </c>
      <c r="H16" s="23">
        <f>IF(D16&gt;0,ROUNDUP(D16/Premissas!$C$6,0),0)</f>
        <v>0</v>
      </c>
      <c r="I16" s="23">
        <f t="shared" si="1"/>
        <v>0</v>
      </c>
      <c r="J16" s="23">
        <f>C16*(IF(Premissas!$C$7=1,IF(D16&gt;0,1,0),H16)+E16)*(1+F16)</f>
        <v>0</v>
      </c>
    </row>
    <row r="17" spans="1:10" x14ac:dyDescent="0.25">
      <c r="A17" s="4"/>
      <c r="B17" s="19"/>
      <c r="C17" s="18"/>
      <c r="D17" s="20"/>
      <c r="E17" s="21"/>
      <c r="F17" s="21"/>
      <c r="G17" s="22">
        <f t="shared" si="0"/>
        <v>0</v>
      </c>
      <c r="H17" s="23">
        <f>IF(D17&gt;0,ROUNDUP(D17/Premissas!$C$6,0),0)</f>
        <v>0</v>
      </c>
      <c r="I17" s="23">
        <f t="shared" si="1"/>
        <v>0</v>
      </c>
      <c r="J17" s="23">
        <f>C17*(IF(Premissas!$C$7=1,IF(D17&gt;0,1,0),H17)+E17)*(1+F17)</f>
        <v>0</v>
      </c>
    </row>
    <row r="18" spans="1:10" x14ac:dyDescent="0.25">
      <c r="A18" s="4"/>
      <c r="B18" s="19"/>
      <c r="C18" s="18"/>
      <c r="D18" s="20"/>
      <c r="E18" s="21"/>
      <c r="F18" s="21"/>
      <c r="G18" s="22">
        <f t="shared" si="0"/>
        <v>0</v>
      </c>
      <c r="H18" s="23">
        <f>IF(D18&gt;0,ROUNDUP(D18/Premissas!$C$6,0),0)</f>
        <v>0</v>
      </c>
      <c r="I18" s="23">
        <f t="shared" si="1"/>
        <v>0</v>
      </c>
      <c r="J18" s="23">
        <f>C18*(IF(Premissas!$C$7=1,IF(D18&gt;0,1,0),H18)+E18)*(1+F18)</f>
        <v>0</v>
      </c>
    </row>
    <row r="19" spans="1:10" x14ac:dyDescent="0.25">
      <c r="A19" s="4"/>
      <c r="B19" s="19"/>
      <c r="C19" s="18"/>
      <c r="D19" s="20"/>
      <c r="E19" s="21"/>
      <c r="F19" s="21"/>
      <c r="G19" s="22">
        <f t="shared" si="0"/>
        <v>0</v>
      </c>
      <c r="H19" s="23">
        <f>IF(D19&gt;0,ROUNDUP(D19/Premissas!$C$6,0),0)</f>
        <v>0</v>
      </c>
      <c r="I19" s="23">
        <f t="shared" si="1"/>
        <v>0</v>
      </c>
      <c r="J19" s="23">
        <f>C19*(IF(Premissas!$C$7=1,IF(D19&gt;0,1,0),H19)+E19)*(1+F19)</f>
        <v>0</v>
      </c>
    </row>
    <row r="20" spans="1:10" x14ac:dyDescent="0.25">
      <c r="A20" s="4"/>
      <c r="B20" s="17" t="s">
        <v>14</v>
      </c>
      <c r="C20" s="24">
        <f>SUM(C5:C19)</f>
        <v>50500</v>
      </c>
      <c r="D20" s="4"/>
      <c r="E20" s="4"/>
      <c r="F20" s="4"/>
      <c r="G20" s="25">
        <f>SUM(G5:G19)</f>
        <v>58.59375</v>
      </c>
      <c r="H20" s="4"/>
      <c r="I20" s="24">
        <f>SUM(I5:I19)</f>
        <v>58350</v>
      </c>
      <c r="J20" s="24">
        <f>SUM(J5:J19)</f>
        <v>52050</v>
      </c>
    </row>
    <row r="21" spans="1:10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</row>
    <row r="22" spans="1:10" x14ac:dyDescent="0.25">
      <c r="A22" s="4"/>
      <c r="B22" s="34" t="s">
        <v>15</v>
      </c>
      <c r="C22" s="35"/>
      <c r="D22" s="35"/>
      <c r="E22" s="35"/>
      <c r="F22" s="35"/>
      <c r="G22" s="35"/>
      <c r="H22" s="35"/>
      <c r="I22" s="35"/>
      <c r="J22" s="35"/>
    </row>
    <row r="23" spans="1:10" x14ac:dyDescent="0.25">
      <c r="A23" s="4"/>
      <c r="B23" s="35"/>
      <c r="C23" s="35"/>
      <c r="D23" s="35"/>
      <c r="E23" s="35"/>
      <c r="F23" s="35"/>
      <c r="G23" s="35"/>
      <c r="H23" s="35"/>
      <c r="I23" s="35"/>
      <c r="J23" s="35"/>
    </row>
  </sheetData>
  <mergeCells count="1">
    <mergeCell ref="B22:J23"/>
  </mergeCells>
  <dataValidations count="2">
    <dataValidation type="whole" operator="greaterThan" error="Informe um número inteiro de dias maior que zero." sqref="C2" xr:uid="{00000000-0002-0000-0200-000000000000}">
      <formula1>0</formula1>
    </dataValidation>
    <dataValidation type="decimal" error="Percentual entre 0 e 1 (ex.: 0,05 = 5%)." sqref="E5:F19" xr:uid="{00000000-0002-0000-0200-000001000000}">
      <formula1>0</formula1>
      <formula2>1</formula2>
    </dataValidation>
  </dataValidations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7"/>
  <sheetViews>
    <sheetView showGridLines="0" workbookViewId="0"/>
  </sheetViews>
  <sheetFormatPr defaultRowHeight="15" x14ac:dyDescent="0.25"/>
  <cols>
    <col min="1" max="1" width="2" customWidth="1"/>
    <col min="2" max="2" width="58" customWidth="1"/>
    <col min="3" max="3" width="20" customWidth="1"/>
    <col min="4" max="4" width="60" customWidth="1"/>
  </cols>
  <sheetData>
    <row r="1" spans="1:4" ht="18" x14ac:dyDescent="0.25">
      <c r="A1" s="4"/>
      <c r="B1" s="5" t="s">
        <v>89</v>
      </c>
      <c r="C1" s="4"/>
      <c r="D1" s="4"/>
    </row>
    <row r="2" spans="1:4" x14ac:dyDescent="0.25">
      <c r="A2" s="4"/>
      <c r="B2" s="6" t="s">
        <v>90</v>
      </c>
      <c r="C2" s="4"/>
      <c r="D2" s="4"/>
    </row>
    <row r="3" spans="1:4" x14ac:dyDescent="0.25">
      <c r="A3" s="4"/>
      <c r="B3" s="4"/>
      <c r="C3" s="4"/>
      <c r="D3" s="4"/>
    </row>
    <row r="4" spans="1:4" x14ac:dyDescent="0.25">
      <c r="A4" s="4"/>
      <c r="B4" s="7" t="s">
        <v>91</v>
      </c>
      <c r="C4" s="8"/>
      <c r="D4" s="8"/>
    </row>
    <row r="5" spans="1:4" x14ac:dyDescent="0.25">
      <c r="A5" s="4"/>
      <c r="B5" s="14" t="s">
        <v>92</v>
      </c>
      <c r="C5" s="26">
        <f>Consumo!$G$20*(Premissas!$C$5/Consumo!$C$2)</f>
        <v>1757.8125</v>
      </c>
      <c r="D5" s="16" t="s">
        <v>93</v>
      </c>
    </row>
    <row r="6" spans="1:4" x14ac:dyDescent="0.25">
      <c r="A6" s="4"/>
      <c r="B6" s="14" t="s">
        <v>94</v>
      </c>
      <c r="C6" s="27">
        <f>Consumo!$I$20*(Premissas!$C$5/Consumo!$C$2)</f>
        <v>1750500</v>
      </c>
      <c r="D6" s="4"/>
    </row>
    <row r="7" spans="1:4" x14ac:dyDescent="0.25">
      <c r="A7" s="4"/>
      <c r="B7" s="14" t="s">
        <v>95</v>
      </c>
      <c r="C7" s="27">
        <f>Consumo!$J$20*(Premissas!$C$5/Consumo!$C$2)</f>
        <v>1561500</v>
      </c>
      <c r="D7" s="4"/>
    </row>
    <row r="8" spans="1:4" x14ac:dyDescent="0.25">
      <c r="A8" s="4"/>
      <c r="B8" s="14" t="s">
        <v>96</v>
      </c>
      <c r="C8" s="27">
        <f>Consumo!$C$20*(Premissas!$C$5/Consumo!$C$2)</f>
        <v>1515000</v>
      </c>
      <c r="D8" s="4"/>
    </row>
    <row r="9" spans="1:4" x14ac:dyDescent="0.25">
      <c r="A9" s="4"/>
      <c r="B9" s="4"/>
      <c r="C9" s="4"/>
      <c r="D9" s="4"/>
    </row>
    <row r="10" spans="1:4" x14ac:dyDescent="0.25">
      <c r="A10" s="4"/>
      <c r="B10" s="7" t="s">
        <v>97</v>
      </c>
      <c r="C10" s="8"/>
      <c r="D10" s="8"/>
    </row>
    <row r="11" spans="1:4" x14ac:dyDescent="0.25">
      <c r="A11" s="4"/>
      <c r="B11" s="14" t="s">
        <v>98</v>
      </c>
      <c r="C11" s="28">
        <f>SUMPRODUCT((($C$6/1000000)&gt;Premissas!$C$24:$C$27)*((($C$6/1000000)-Premissas!$C$24:$C$27)-(($C$6/1000000)&gt;Premissas!$D$24:$D$27)*(($C$6/1000000)-Premissas!$D$24:$D$27))*Premissas!$E$24:$E$27)</f>
        <v>6.1267499999999995</v>
      </c>
      <c r="D11" s="16" t="s">
        <v>99</v>
      </c>
    </row>
    <row r="12" spans="1:4" x14ac:dyDescent="0.25">
      <c r="A12" s="4"/>
      <c r="B12" s="14" t="s">
        <v>100</v>
      </c>
      <c r="C12" s="28">
        <f>SUMPRODUCT(($C$5&gt;Premissas!$C$32:$C$35)*(($C$5-Premissas!$C$32:$C$35)-($C$5&gt;Premissas!$D$32:$D$35)*($C$5-Premissas!$D$32:$D$35))*Premissas!$E$32:$E$35)</f>
        <v>158.203125</v>
      </c>
      <c r="D12" s="16" t="s">
        <v>101</v>
      </c>
    </row>
    <row r="13" spans="1:4" x14ac:dyDescent="0.25">
      <c r="A13" s="4"/>
      <c r="B13" s="14" t="s">
        <v>102</v>
      </c>
      <c r="C13" s="28">
        <f>$C$6/1000*Premissas!$C$15</f>
        <v>0.70020000000000004</v>
      </c>
      <c r="D13" s="4"/>
    </row>
    <row r="14" spans="1:4" x14ac:dyDescent="0.25">
      <c r="A14" s="4"/>
      <c r="B14" s="14" t="s">
        <v>103</v>
      </c>
      <c r="C14" s="28">
        <f>$C$6*(1-Premissas!$C$9)*(Premissas!$C$12/1000000+(Premissas!$C$10/1024)*(Premissas!$C$11/1000)*Premissas!$C$13)</f>
        <v>0.10794764587499998</v>
      </c>
      <c r="D14" s="16" t="s">
        <v>104</v>
      </c>
    </row>
    <row r="15" spans="1:4" x14ac:dyDescent="0.25">
      <c r="A15" s="4"/>
      <c r="B15" s="17" t="s">
        <v>105</v>
      </c>
      <c r="C15" s="29">
        <f>SUM(C11:C14)</f>
        <v>165.13802264587497</v>
      </c>
      <c r="D15" s="4"/>
    </row>
    <row r="16" spans="1:4" x14ac:dyDescent="0.25">
      <c r="A16" s="4"/>
      <c r="B16" s="4"/>
      <c r="C16" s="4"/>
      <c r="D16" s="4"/>
    </row>
    <row r="17" spans="1:4" x14ac:dyDescent="0.25">
      <c r="A17" s="4"/>
      <c r="B17" s="7" t="s">
        <v>106</v>
      </c>
      <c r="C17" s="8"/>
      <c r="D17" s="8"/>
    </row>
    <row r="18" spans="1:4" x14ac:dyDescent="0.25">
      <c r="A18" s="4"/>
      <c r="B18" s="14" t="s">
        <v>107</v>
      </c>
      <c r="C18" s="28">
        <f>MAX(0,$C$7-Premissas!$C$19)/10000*Premissas!$C$20</f>
        <v>0</v>
      </c>
      <c r="D18" s="4"/>
    </row>
    <row r="19" spans="1:4" x14ac:dyDescent="0.25">
      <c r="A19" s="4"/>
      <c r="B19" s="14" t="s">
        <v>108</v>
      </c>
      <c r="C19" s="28">
        <f>SUMPRODUCT((MAX(0,$C$5-Premissas!$C$18)&gt;Premissas!$C$40:$C$45)*((MAX(0,$C$5-Premissas!$C$18)-Premissas!$C$40:$C$45)-(MAX(0,$C$5-Premissas!$C$18)&gt;Premissas!$D$40:$D$45)*(MAX(0,$C$5-Premissas!$C$18)-Premissas!$D$40:$D$45))*Premissas!$E$40:$E$45)</f>
        <v>62.374062500000008</v>
      </c>
      <c r="D19" s="16" t="s">
        <v>109</v>
      </c>
    </row>
    <row r="20" spans="1:4" x14ac:dyDescent="0.25">
      <c r="A20" s="4"/>
      <c r="B20" s="14" t="s">
        <v>110</v>
      </c>
      <c r="C20" s="28">
        <f>$C$7*(1-Premissas!$C$17)/1000*Premissas!$C$15</f>
        <v>0.12491999999999999</v>
      </c>
      <c r="D20" s="4"/>
    </row>
    <row r="21" spans="1:4" x14ac:dyDescent="0.25">
      <c r="A21" s="4"/>
      <c r="B21" s="17" t="s">
        <v>111</v>
      </c>
      <c r="C21" s="29">
        <f>SUM(C18:C20)</f>
        <v>62.498982500000011</v>
      </c>
      <c r="D21" s="4"/>
    </row>
    <row r="22" spans="1:4" x14ac:dyDescent="0.25">
      <c r="A22" s="4"/>
      <c r="B22" s="4"/>
      <c r="C22" s="4"/>
      <c r="D22" s="4"/>
    </row>
    <row r="23" spans="1:4" x14ac:dyDescent="0.25">
      <c r="A23" s="4"/>
      <c r="B23" s="7" t="s">
        <v>112</v>
      </c>
      <c r="C23" s="8"/>
      <c r="D23" s="8"/>
    </row>
    <row r="24" spans="1:4" x14ac:dyDescent="0.25">
      <c r="A24" s="4"/>
      <c r="B24" s="14" t="s">
        <v>113</v>
      </c>
      <c r="C24" s="30" t="str">
        <f>IF(AND($C$7&lt;=Premissas!$D$50,$C$5&lt;=Premissas!$E$50),Premissas!$B$50,IF(AND($C$7&lt;=Premissas!$D$51,$C$5&lt;=Premissas!$E$51),Premissas!$B$51,IF(AND($C$7&lt;=Premissas!$D$52,$C$5&lt;=Premissas!$E$52),Premissas!$B$52,IF(AND($C$7&lt;=Premissas!$D$53,$C$5&lt;=Premissas!$E$53),Premissas!$B$53,"Excede os planos (usar sob demanda)"))))</f>
        <v>Pro</v>
      </c>
      <c r="D24" s="16" t="s">
        <v>114</v>
      </c>
    </row>
    <row r="25" spans="1:4" x14ac:dyDescent="0.25">
      <c r="A25" s="4"/>
      <c r="B25" s="17" t="s">
        <v>115</v>
      </c>
      <c r="C25" s="29">
        <f>IF(AND($C$7&lt;=Premissas!$D$50,$C$5&lt;=Premissas!$E$50),Premissas!$C$50,IF(AND($C$7&lt;=Premissas!$D$51,$C$5&lt;=Premissas!$E$51),Premissas!$C$51,IF(AND($C$7&lt;=Premissas!$D$52,$C$5&lt;=Premissas!$E$52),Premissas!$C$52,IF(AND($C$7&lt;=Premissas!$D$53,$C$5&lt;=Premissas!$E$53),Premissas!$C$53,$C$21))))</f>
        <v>15</v>
      </c>
      <c r="D25" s="4"/>
    </row>
    <row r="26" spans="1:4" x14ac:dyDescent="0.25">
      <c r="A26" s="4"/>
      <c r="B26" s="4"/>
      <c r="C26" s="4"/>
      <c r="D26" s="4"/>
    </row>
    <row r="27" spans="1:4" x14ac:dyDescent="0.25">
      <c r="A27" s="4"/>
      <c r="B27" s="7" t="s">
        <v>116</v>
      </c>
      <c r="C27" s="8"/>
      <c r="D27" s="8"/>
    </row>
    <row r="28" spans="1:4" x14ac:dyDescent="0.25">
      <c r="A28" s="4"/>
      <c r="B28" s="17" t="s">
        <v>117</v>
      </c>
      <c r="C28" s="29">
        <f>C15-C21</f>
        <v>102.63904014587496</v>
      </c>
      <c r="D28" s="4"/>
    </row>
    <row r="29" spans="1:4" x14ac:dyDescent="0.25">
      <c r="A29" s="4"/>
      <c r="B29" s="14" t="s">
        <v>118</v>
      </c>
      <c r="C29" s="31">
        <f>IF(C21&gt;0,C15/C21,"n/a (CloudFront dentro do free tier)")</f>
        <v>2.6422513781864359</v>
      </c>
      <c r="D29" s="4"/>
    </row>
    <row r="30" spans="1:4" x14ac:dyDescent="0.25">
      <c r="A30" s="4"/>
      <c r="B30" s="14" t="s">
        <v>119</v>
      </c>
      <c r="C30" s="28">
        <f>C15-C25</f>
        <v>150.13802264587497</v>
      </c>
      <c r="D30" s="4"/>
    </row>
    <row r="31" spans="1:4" x14ac:dyDescent="0.25">
      <c r="A31" s="4"/>
      <c r="B31" s="14" t="s">
        <v>120</v>
      </c>
      <c r="C31" s="32">
        <f>IF(C5&gt;0,C15/C5,0)</f>
        <v>9.3945186216319976E-2</v>
      </c>
      <c r="D31" s="4"/>
    </row>
    <row r="32" spans="1:4" x14ac:dyDescent="0.25">
      <c r="A32" s="4"/>
      <c r="B32" s="14" t="s">
        <v>121</v>
      </c>
      <c r="C32" s="32">
        <f>IF(C5&gt;0,C21/C5,0)</f>
        <v>3.5554976711111116E-2</v>
      </c>
      <c r="D32" s="4"/>
    </row>
    <row r="33" spans="1:4" x14ac:dyDescent="0.25">
      <c r="A33" s="4"/>
      <c r="B33" s="14" t="s">
        <v>122</v>
      </c>
      <c r="C33" s="33">
        <f>IF(C8&gt;0,C15/C8,0)</f>
        <v>1.0900199514579206E-4</v>
      </c>
      <c r="D33" s="4"/>
    </row>
    <row r="34" spans="1:4" x14ac:dyDescent="0.25">
      <c r="A34" s="4"/>
      <c r="B34" s="4"/>
      <c r="C34" s="4"/>
      <c r="D34" s="4"/>
    </row>
    <row r="35" spans="1:4" x14ac:dyDescent="0.25">
      <c r="A35" s="4"/>
      <c r="B35" s="34" t="s">
        <v>123</v>
      </c>
      <c r="C35" s="35"/>
      <c r="D35" s="35"/>
    </row>
    <row r="36" spans="1:4" x14ac:dyDescent="0.25">
      <c r="A36" s="4"/>
      <c r="B36" s="35"/>
      <c r="C36" s="35"/>
      <c r="D36" s="35"/>
    </row>
    <row r="37" spans="1:4" x14ac:dyDescent="0.25">
      <c r="A37" s="4"/>
      <c r="B37" s="35"/>
      <c r="C37" s="35"/>
      <c r="D37" s="35"/>
    </row>
  </sheetData>
  <mergeCells count="1">
    <mergeCell ref="B35:D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Leia-me</vt:lpstr>
      <vt:lpstr>Premissas</vt:lpstr>
      <vt:lpstr>Consumo</vt:lpstr>
      <vt:lpstr>Comparativo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Bruno Ramires Lima</cp:lastModifiedBy>
  <dcterms:created xsi:type="dcterms:W3CDTF">2026-09-13T19:08:14Z</dcterms:created>
  <dcterms:modified xsi:type="dcterms:W3CDTF">2026-09-13T19:08:31Z</dcterms:modified>
</cp:coreProperties>
</file>